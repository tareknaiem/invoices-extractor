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>
    <definedName name="_xlnm._FilterDatabase" localSheetId="0" hidden="1">'Invoices'!$A$4:$N$32</definedName>
    <definedName name="_xlnm._FilterDatabase" localSheetId="1" hidden="1">'Summary'!$A$1:$B$6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color rgb="0080808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2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26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40" customWidth="1" min="13" max="13"/>
    <col width="10" customWidth="1" min="14" max="14"/>
  </cols>
  <sheetData>
    <row r="1">
      <c r="A1" s="1" t="inlineStr">
        <is>
          <t>Exchange Rates (EGP)</t>
        </is>
      </c>
    </row>
    <row r="2">
      <c r="A2" s="2" t="inlineStr">
        <is>
          <t>USD</t>
        </is>
      </c>
      <c r="B2" s="3" t="n">
        <v>50</v>
      </c>
      <c r="C2" s="2" t="inlineStr">
        <is>
          <t>EUR</t>
        </is>
      </c>
      <c r="D2" s="3" t="n">
        <v>55</v>
      </c>
      <c r="E2" s="2" t="inlineStr">
        <is>
          <t>GBP</t>
        </is>
      </c>
      <c r="F2" s="3" t="n">
        <v>65</v>
      </c>
    </row>
    <row r="3">
      <c r="A3" s="4" t="inlineStr">
        <is>
          <t>Edit the highlighted cells to update conversion rates.</t>
        </is>
      </c>
    </row>
    <row r="4">
      <c r="A4" s="5" t="inlineStr">
        <is>
          <t>EGP Converter</t>
        </is>
      </c>
      <c r="B4" s="5" t="inlineStr">
        <is>
          <t>EGP</t>
        </is>
      </c>
      <c r="C4" s="5" t="inlineStr">
        <is>
          <t>GBP</t>
        </is>
      </c>
      <c r="D4" s="5" t="inlineStr">
        <is>
          <t>Euros</t>
        </is>
      </c>
      <c r="E4" s="5" t="inlineStr">
        <is>
          <t>USD</t>
        </is>
      </c>
      <c r="F4" s="5" t="inlineStr">
        <is>
          <t>V.NO</t>
        </is>
      </c>
      <c r="G4" s="5" t="inlineStr">
        <is>
          <t>Hotel</t>
        </is>
      </c>
      <c r="H4" s="5" t="inlineStr">
        <is>
          <t>Date</t>
        </is>
      </c>
      <c r="I4" s="5" t="inlineStr">
        <is>
          <t>Adult</t>
        </is>
      </c>
      <c r="J4" s="5" t="inlineStr">
        <is>
          <t>Child</t>
        </is>
      </c>
      <c r="K4" s="5" t="inlineStr">
        <is>
          <t>Inf</t>
        </is>
      </c>
      <c r="L4" s="5" t="inlineStr">
        <is>
          <t>Total</t>
        </is>
      </c>
      <c r="M4" s="5" t="inlineStr">
        <is>
          <t>Notes</t>
        </is>
      </c>
      <c r="N4" s="5" t="inlineStr">
        <is>
          <t>Net</t>
        </is>
      </c>
    </row>
    <row r="5">
      <c r="A5" s="6">
        <f>N(B5)+N(E5)*$B$2+N(D5)*$D$2+N(C5)*$F$2</f>
        <v/>
      </c>
      <c r="B5" s="6" t="inlineStr"/>
      <c r="C5" s="6" t="inlineStr"/>
      <c r="D5" s="6" t="inlineStr"/>
      <c r="E5" s="6" t="n">
        <v>75</v>
      </c>
      <c r="F5" s="7" t="inlineStr">
        <is>
          <t>TG-2026-8135</t>
        </is>
      </c>
      <c r="G5" s="7" t="inlineStr">
        <is>
          <t>Serinity alma heights</t>
        </is>
      </c>
      <c r="H5" s="7" t="inlineStr">
        <is>
          <t>2026-09-01</t>
        </is>
      </c>
      <c r="I5" s="8" t="n">
        <v>2</v>
      </c>
      <c r="J5" s="8" t="n">
        <v>1</v>
      </c>
      <c r="K5" s="8" t="n">
        <v>1</v>
      </c>
      <c r="L5" s="6" t="n">
        <v>2750</v>
      </c>
      <c r="M5" s="7" t="inlineStr">
        <is>
          <t>Info: Makadi | Guest: Anis chouider | Room: 6332 | Tour: Hula Hula | Language: French</t>
        </is>
      </c>
      <c r="N5" s="6" t="inlineStr"/>
    </row>
    <row r="6">
      <c r="A6" s="6">
        <f>N(B6)+N(E6)*$B$2+N(D6)*$D$2+N(C6)*$F$2</f>
        <v/>
      </c>
      <c r="B6" s="6" t="inlineStr"/>
      <c r="C6" s="6" t="inlineStr"/>
      <c r="D6" s="6" t="n">
        <v>63</v>
      </c>
      <c r="E6" s="6" t="inlineStr"/>
      <c r="F6" s="7" t="inlineStr">
        <is>
          <t>TG-2026-6344</t>
        </is>
      </c>
      <c r="G6" s="7" t="inlineStr">
        <is>
          <t>Gravity sahl hasheesh</t>
        </is>
      </c>
      <c r="H6" s="7" t="inlineStr">
        <is>
          <t>2026-09-01</t>
        </is>
      </c>
      <c r="I6" s="8" t="n">
        <v>1</v>
      </c>
      <c r="J6" s="8" t="n">
        <v>2</v>
      </c>
      <c r="K6" s="8" t="n">
        <v>0</v>
      </c>
      <c r="L6" s="6" t="n">
        <v>2200</v>
      </c>
      <c r="M6" s="7" t="inlineStr">
        <is>
          <t>Info: sahl hasheesh | Guest: Touati tawfik | Room: 2429 | Tour: Hula Hula | Language: French</t>
        </is>
      </c>
      <c r="N6" s="6" t="inlineStr"/>
    </row>
    <row r="7">
      <c r="A7" s="6">
        <f>N(B7)+N(E7)*$B$2+N(D7)*$D$2+N(C7)*$F$2</f>
        <v/>
      </c>
      <c r="B7" s="6" t="inlineStr"/>
      <c r="C7" s="6" t="inlineStr"/>
      <c r="D7" s="6" t="inlineStr"/>
      <c r="E7" s="6" t="inlineStr"/>
      <c r="F7" s="7" t="inlineStr">
        <is>
          <t>TG-2026-1397</t>
        </is>
      </c>
      <c r="G7" s="7" t="inlineStr">
        <is>
          <t>Makadi palace</t>
        </is>
      </c>
      <c r="H7" s="7" t="inlineStr">
        <is>
          <t>2026-09-02</t>
        </is>
      </c>
      <c r="I7" s="8" t="n">
        <v>2</v>
      </c>
      <c r="J7" s="8" t="n">
        <v>2</v>
      </c>
      <c r="K7" s="8" t="n">
        <v>0</v>
      </c>
      <c r="L7" s="6" t="n">
        <v>3300</v>
      </c>
      <c r="M7" s="7" t="inlineStr">
        <is>
          <t>Info: Makadi | Guest: Dounia | Room: 4326 - 4327 | Tour: Orange | Language: French</t>
        </is>
      </c>
      <c r="N7" s="6" t="inlineStr"/>
    </row>
    <row r="8">
      <c r="A8" s="6">
        <f>N(B8)+N(E8)*$B$2+N(D8)*$D$2+N(C8)*$F$2</f>
        <v/>
      </c>
      <c r="B8" s="6" t="inlineStr"/>
      <c r="C8" s="6" t="inlineStr"/>
      <c r="D8" s="6" t="n">
        <v>46</v>
      </c>
      <c r="E8" s="6" t="inlineStr"/>
      <c r="F8" s="7" t="inlineStr">
        <is>
          <t>TG-2026-5805</t>
        </is>
      </c>
      <c r="G8" s="7" t="inlineStr">
        <is>
          <t>Pickalbatros jungle aqua</t>
        </is>
      </c>
      <c r="H8" s="7" t="inlineStr">
        <is>
          <t>2026-09-03</t>
        </is>
      </c>
      <c r="I8" s="8" t="n">
        <v>2</v>
      </c>
      <c r="J8" s="8" t="n">
        <v>0</v>
      </c>
      <c r="K8" s="8" t="n">
        <v>0</v>
      </c>
      <c r="L8" s="6" t="n">
        <v>1800</v>
      </c>
      <c r="M8" s="7" t="inlineStr">
        <is>
          <t>Guest: Derouault Adrien | Room: 5145 | Tour: Orange | Language: French</t>
        </is>
      </c>
      <c r="N8" s="6" t="inlineStr"/>
    </row>
    <row r="9">
      <c r="A9" s="6">
        <f>N(B9)+N(E9)*$B$2+N(D9)*$D$2+N(C9)*$F$2</f>
        <v/>
      </c>
      <c r="B9" s="6" t="inlineStr"/>
      <c r="C9" s="6" t="inlineStr"/>
      <c r="D9" s="6" t="inlineStr"/>
      <c r="E9" s="6" t="n">
        <v>75</v>
      </c>
      <c r="F9" s="7" t="inlineStr">
        <is>
          <t>TG-2026-2965</t>
        </is>
      </c>
      <c r="G9" s="7" t="inlineStr">
        <is>
          <t>Aissani - Hurgada</t>
        </is>
      </c>
      <c r="H9" s="7" t="inlineStr">
        <is>
          <t>2026-09-03</t>
        </is>
      </c>
      <c r="I9" s="8" t="n">
        <v>3</v>
      </c>
      <c r="J9" s="8" t="n">
        <v>0</v>
      </c>
      <c r="K9" s="8" t="n">
        <v>0</v>
      </c>
      <c r="L9" s="6" t="n">
        <v>2700</v>
      </c>
      <c r="M9" s="7" t="inlineStr">
        <is>
          <t>Guest: Mohammed | Room: - | Tour: Hula Hula | Language: French</t>
        </is>
      </c>
      <c r="N9" s="6" t="inlineStr"/>
    </row>
    <row r="10">
      <c r="A10" s="6">
        <f>N(B10)+N(E10)*$B$2+N(D10)*$D$2+N(C10)*$F$2</f>
        <v/>
      </c>
      <c r="B10" s="6" t="inlineStr"/>
      <c r="C10" s="6" t="inlineStr"/>
      <c r="D10" s="6" t="inlineStr"/>
      <c r="E10" s="6" t="n">
        <v>50</v>
      </c>
      <c r="F10" s="7" t="inlineStr">
        <is>
          <t>TG-2026-NGKS7P</t>
        </is>
      </c>
      <c r="G10" s="7" t="inlineStr">
        <is>
          <t>Pickalbatros Aqua park</t>
        </is>
      </c>
      <c r="H10" s="7" t="inlineStr">
        <is>
          <t>2026-09-03</t>
        </is>
      </c>
      <c r="I10" s="8" t="n">
        <v>2</v>
      </c>
      <c r="J10" s="8" t="n">
        <v>0</v>
      </c>
      <c r="K10" s="8" t="n">
        <v>1</v>
      </c>
      <c r="L10" s="6" t="n">
        <v>1800</v>
      </c>
      <c r="M10" s="7" t="inlineStr">
        <is>
          <t>Guest: Saturnino Zapata | Room: 2238 | Tour: Hula Hula | Language: English</t>
        </is>
      </c>
      <c r="N10" s="6" t="inlineStr"/>
    </row>
    <row r="11">
      <c r="A11" s="6">
        <f>N(B11)+N(E11)*$B$2+N(D11)*$D$2+N(C11)*$F$2</f>
        <v/>
      </c>
      <c r="B11" s="6" t="inlineStr"/>
      <c r="C11" s="6" t="inlineStr"/>
      <c r="D11" s="6" t="n">
        <v>70</v>
      </c>
      <c r="E11" s="6" t="inlineStr"/>
      <c r="F11" s="7" t="inlineStr">
        <is>
          <t>TG-2026-5114</t>
        </is>
      </c>
      <c r="G11" s="7" t="inlineStr">
        <is>
          <t>Grand makadi</t>
        </is>
      </c>
      <c r="H11" s="7" t="inlineStr">
        <is>
          <t>2026-09-04</t>
        </is>
      </c>
      <c r="I11" s="8" t="n">
        <v>2</v>
      </c>
      <c r="J11" s="8" t="n">
        <v>1</v>
      </c>
      <c r="K11" s="8" t="n">
        <v>0</v>
      </c>
      <c r="L11" s="6" t="n">
        <v>2750</v>
      </c>
      <c r="M11" s="7" t="inlineStr">
        <is>
          <t>Info: Makadi | Guest: Samah | Room: 1114 | Tour: Orange | Language: Arabic</t>
        </is>
      </c>
      <c r="N11" s="6" t="inlineStr"/>
    </row>
    <row r="12">
      <c r="A12" s="6">
        <f>N(B12)+N(E12)*$B$2+N(D12)*$D$2+N(C12)*$F$2</f>
        <v/>
      </c>
      <c r="B12" s="6" t="n">
        <v>4600</v>
      </c>
      <c r="C12" s="6" t="inlineStr"/>
      <c r="D12" s="6" t="inlineStr"/>
      <c r="E12" s="6" t="inlineStr"/>
      <c r="F12" s="7" t="inlineStr">
        <is>
          <t>TG-2026-2230</t>
        </is>
      </c>
      <c r="G12" s="7" t="inlineStr">
        <is>
          <t>Grand makadi</t>
        </is>
      </c>
      <c r="H12" s="7" t="inlineStr">
        <is>
          <t>2026-09-04</t>
        </is>
      </c>
      <c r="I12" s="8" t="n">
        <v>2</v>
      </c>
      <c r="J12" s="8" t="n">
        <v>2</v>
      </c>
      <c r="K12" s="8" t="n">
        <v>0</v>
      </c>
      <c r="L12" s="6" t="n">
        <v>3300</v>
      </c>
      <c r="M12" s="7" t="inlineStr">
        <is>
          <t>Info: Makadi | Guest: Hanaa moheb ismail | Room: 2230 | Tour: Orange | Language: Arabic</t>
        </is>
      </c>
      <c r="N12" s="6" t="inlineStr"/>
    </row>
    <row r="13">
      <c r="A13" s="6">
        <f>N(B13)+N(E13)*$B$2+N(D13)*$D$2+N(C13)*$F$2</f>
        <v/>
      </c>
      <c r="B13" s="6" t="inlineStr"/>
      <c r="C13" s="6" t="inlineStr"/>
      <c r="D13" s="6" t="n">
        <v>53</v>
      </c>
      <c r="E13" s="6" t="inlineStr"/>
      <c r="F13" s="7" t="inlineStr">
        <is>
          <t>TG-2026-4420</t>
        </is>
      </c>
      <c r="G13" s="7" t="inlineStr">
        <is>
          <t>Jazz aquaviva</t>
        </is>
      </c>
      <c r="H13" s="7" t="inlineStr">
        <is>
          <t>2026-09-04</t>
        </is>
      </c>
      <c r="I13" s="8" t="n">
        <v>2</v>
      </c>
      <c r="J13" s="8" t="n">
        <v>0</v>
      </c>
      <c r="K13" s="8" t="n">
        <v>0</v>
      </c>
      <c r="L13" s="6" t="n">
        <v>2200</v>
      </c>
      <c r="M13" s="7" t="inlineStr">
        <is>
          <t>Info: Makadi | Guest: Thybo masson | Room: 2101 | Tour: Orange | Language: French</t>
        </is>
      </c>
      <c r="N13" s="6" t="inlineStr"/>
    </row>
    <row r="14">
      <c r="A14" s="6">
        <f>N(B14)+N(E14)*$B$2+N(D14)*$D$2+N(C14)*$F$2</f>
        <v/>
      </c>
      <c r="B14" s="6" t="inlineStr"/>
      <c r="C14" s="6" t="inlineStr"/>
      <c r="D14" s="6" t="inlineStr"/>
      <c r="E14" s="6" t="n">
        <v>50</v>
      </c>
      <c r="F14" s="7" t="inlineStr">
        <is>
          <t>TG-2026-8391</t>
        </is>
      </c>
      <c r="G14" s="7" t="inlineStr">
        <is>
          <t>Xanadu makadi bay</t>
        </is>
      </c>
      <c r="H14" s="7" t="inlineStr">
        <is>
          <t>2026-09-04</t>
        </is>
      </c>
      <c r="I14" s="8" t="n">
        <v>2</v>
      </c>
      <c r="J14" s="8" t="n">
        <v>0</v>
      </c>
      <c r="K14" s="8" t="n">
        <v>0</v>
      </c>
      <c r="L14" s="6" t="n">
        <v>2200</v>
      </c>
      <c r="M14" s="7" t="inlineStr">
        <is>
          <t>Info: Makadi | Guest: ~Yasmine | Room: - | Tour: Orange | Language: English</t>
        </is>
      </c>
      <c r="N14" s="6" t="inlineStr"/>
    </row>
    <row r="15">
      <c r="A15" s="6">
        <f>N(B15)+N(E15)*$B$2+N(D15)*$D$2+N(C15)*$F$2</f>
        <v/>
      </c>
      <c r="B15" s="6" t="inlineStr"/>
      <c r="C15" s="6" t="inlineStr"/>
      <c r="D15" s="6" t="n">
        <v>189</v>
      </c>
      <c r="E15" s="6" t="inlineStr"/>
      <c r="F15" s="7" t="inlineStr">
        <is>
          <t>TG-2026-YEV8UK</t>
        </is>
      </c>
      <c r="G15" s="7" t="inlineStr">
        <is>
          <t>Jaz Aquaviva</t>
        </is>
      </c>
      <c r="H15" s="7" t="inlineStr">
        <is>
          <t>2026-09-04</t>
        </is>
      </c>
      <c r="I15" s="8" t="n">
        <v>7</v>
      </c>
      <c r="J15" s="8" t="n">
        <v>0</v>
      </c>
      <c r="K15" s="8" t="n">
        <v>0</v>
      </c>
      <c r="L15" s="6" t="n">
        <v>7700</v>
      </c>
      <c r="M15" s="7" t="inlineStr">
        <is>
          <t>Info: Makadi | Guest: Kenza Ighilahriz | Room: - | Tour: Hula Hula | Language: French</t>
        </is>
      </c>
      <c r="N15" s="6" t="inlineStr"/>
    </row>
    <row r="16">
      <c r="A16" s="6">
        <f>N(B16)+N(E16)*$B$2+N(D16)*$D$2+N(C16)*$F$2</f>
        <v/>
      </c>
      <c r="B16" s="6" t="inlineStr"/>
      <c r="C16" s="6" t="inlineStr"/>
      <c r="D16" s="6" t="n">
        <v>310</v>
      </c>
      <c r="E16" s="6" t="inlineStr"/>
      <c r="F16" s="7" t="inlineStr">
        <is>
          <t>TG-2026-8413</t>
        </is>
      </c>
      <c r="G16" s="7" t="inlineStr">
        <is>
          <t>JAZ Aquaviva</t>
        </is>
      </c>
      <c r="H16" s="7" t="inlineStr">
        <is>
          <t>2026-05-09</t>
        </is>
      </c>
      <c r="I16" s="8" t="n">
        <v>8</v>
      </c>
      <c r="J16" s="8" t="n">
        <v>5</v>
      </c>
      <c r="K16" s="8" t="n">
        <v>0</v>
      </c>
      <c r="L16" s="6" t="n">
        <v>11550</v>
      </c>
      <c r="M16" s="7" t="inlineStr">
        <is>
          <t>Info: Makadi | Guest: Sabrina | Tour: Orange | Language: German</t>
        </is>
      </c>
      <c r="N16" s="6" t="inlineStr"/>
    </row>
    <row r="17">
      <c r="A17" s="6">
        <f>N(B17)+N(E17)*$B$2+N(D17)*$D$2+N(C17)*$F$2</f>
        <v/>
      </c>
      <c r="B17" s="6" t="inlineStr"/>
      <c r="C17" s="6" t="inlineStr"/>
      <c r="D17" s="6" t="n">
        <v>46</v>
      </c>
      <c r="E17" s="6" t="inlineStr"/>
      <c r="F17" s="7" t="inlineStr">
        <is>
          <t>TG-2026-9303</t>
        </is>
      </c>
      <c r="G17" s="7" t="inlineStr">
        <is>
          <t>Aladdin beach resort</t>
        </is>
      </c>
      <c r="H17" s="7" t="inlineStr">
        <is>
          <t>2026-09-06</t>
        </is>
      </c>
      <c r="I17" s="8" t="n">
        <v>2</v>
      </c>
      <c r="J17" s="8" t="n">
        <v>0</v>
      </c>
      <c r="K17" s="8" t="n">
        <v>0</v>
      </c>
      <c r="L17" s="6" t="n">
        <v>1800</v>
      </c>
      <c r="M17" s="7" t="inlineStr">
        <is>
          <t>Guest: Bianca | Room: 2970 | Tour: Hula Hula | Language: German</t>
        </is>
      </c>
      <c r="N17" s="6" t="inlineStr"/>
    </row>
    <row r="18">
      <c r="A18" s="6">
        <f>N(B18)+N(E18)*$B$2+N(D18)*$D$2+N(C18)*$F$2</f>
        <v/>
      </c>
      <c r="B18" s="6" t="inlineStr"/>
      <c r="C18" s="6" t="inlineStr"/>
      <c r="D18" s="6" t="inlineStr"/>
      <c r="E18" s="6" t="n">
        <v>25</v>
      </c>
      <c r="F18" s="7" t="inlineStr">
        <is>
          <t>TG-2026-JV3D62</t>
        </is>
      </c>
      <c r="G18" s="7" t="inlineStr">
        <is>
          <t>Desert Rose</t>
        </is>
      </c>
      <c r="H18" s="7" t="inlineStr">
        <is>
          <t>2026-09-06</t>
        </is>
      </c>
      <c r="I18" s="8" t="n">
        <v>1</v>
      </c>
      <c r="J18" s="8" t="n">
        <v>0</v>
      </c>
      <c r="K18" s="8" t="n">
        <v>0</v>
      </c>
      <c r="L18" s="6" t="n">
        <v>900</v>
      </c>
      <c r="M18" s="7" t="inlineStr">
        <is>
          <t>Guest: Luana Basköy | Room: 3119 - 5243 | Tour: Hula Hula | Language: German</t>
        </is>
      </c>
      <c r="N18" s="6" t="inlineStr"/>
    </row>
    <row r="19">
      <c r="A19" s="6">
        <f>N(B19)+N(E19)*$B$2+N(D19)*$D$2+N(C19)*$F$2</f>
        <v/>
      </c>
      <c r="B19" s="6" t="inlineStr"/>
      <c r="C19" s="6" t="inlineStr"/>
      <c r="D19" s="6" t="inlineStr"/>
      <c r="E19" s="6" t="n">
        <v>50</v>
      </c>
      <c r="F19" s="7" t="inlineStr">
        <is>
          <t>TG-2026-N9F6QY</t>
        </is>
      </c>
      <c r="G19" s="7" t="inlineStr">
        <is>
          <t>Desert Rose</t>
        </is>
      </c>
      <c r="H19" s="7" t="inlineStr">
        <is>
          <t>2026-09-06</t>
        </is>
      </c>
      <c r="I19" s="8" t="n">
        <v>2</v>
      </c>
      <c r="J19" s="8" t="n">
        <v>0</v>
      </c>
      <c r="K19" s="8" t="n">
        <v>0</v>
      </c>
      <c r="L19" s="6" t="n">
        <v>1800</v>
      </c>
      <c r="M19" s="7" t="inlineStr">
        <is>
          <t>Guest: Luana Basköy | Room: 3119 - 5243 | Tour: Hula Hula | Language: German</t>
        </is>
      </c>
      <c r="N19" s="6" t="inlineStr"/>
    </row>
    <row r="20">
      <c r="A20" s="6">
        <f>N(B20)+N(E20)*$B$2+N(D20)*$D$2+N(C20)*$F$2</f>
        <v/>
      </c>
      <c r="B20" s="6" t="inlineStr"/>
      <c r="C20" s="6" t="inlineStr"/>
      <c r="D20" s="6" t="inlineStr"/>
      <c r="E20" s="6" t="inlineStr"/>
      <c r="F20" s="7" t="inlineStr">
        <is>
          <t>TG-2026-7VW9A7</t>
        </is>
      </c>
      <c r="G20" s="7" t="inlineStr">
        <is>
          <t>JAZ Makadi Star &amp; Spa</t>
        </is>
      </c>
      <c r="H20" s="7" t="inlineStr">
        <is>
          <t>2026-09-07</t>
        </is>
      </c>
      <c r="I20" s="8" t="n">
        <v>5</v>
      </c>
      <c r="J20" s="8" t="n">
        <v>0</v>
      </c>
      <c r="K20" s="8" t="n">
        <v>0</v>
      </c>
      <c r="L20" s="6" t="n">
        <v>5500</v>
      </c>
      <c r="M20" s="7" t="inlineStr">
        <is>
          <t>Info: Makadi | Guest: Belkacem | Room: 358 | Tour: Orange | Language: French</t>
        </is>
      </c>
      <c r="N20" s="6" t="inlineStr"/>
    </row>
    <row r="21">
      <c r="A21" s="6">
        <f>N(B21)+N(E21)*$B$2+N(D21)*$D$2+N(C21)*$F$2</f>
        <v/>
      </c>
      <c r="B21" s="6" t="n">
        <v>4800</v>
      </c>
      <c r="C21" s="6" t="inlineStr"/>
      <c r="D21" s="6" t="inlineStr"/>
      <c r="E21" s="6" t="inlineStr"/>
      <c r="F21" s="7" t="inlineStr">
        <is>
          <t>TG-2026-8120</t>
        </is>
      </c>
      <c r="G21" s="7" t="inlineStr">
        <is>
          <t>Ali pacha el gouna</t>
        </is>
      </c>
      <c r="H21" s="7" t="inlineStr">
        <is>
          <t>2026-09-07</t>
        </is>
      </c>
      <c r="I21" s="8" t="n">
        <v>3</v>
      </c>
      <c r="J21" s="8" t="n">
        <v>0</v>
      </c>
      <c r="K21" s="8" t="n">
        <v>0</v>
      </c>
      <c r="L21" s="6" t="n">
        <v>3300</v>
      </c>
      <c r="M21" s="7" t="inlineStr">
        <is>
          <t>Info: el gouna | Guest: نور العيادى | Room: 202 | Tour: Orange | Language: Arabic</t>
        </is>
      </c>
      <c r="N21" s="6" t="inlineStr"/>
    </row>
    <row r="22">
      <c r="A22" s="6">
        <f>N(B22)+N(E22)*$B$2+N(D22)*$D$2+N(C22)*$F$2</f>
        <v/>
      </c>
      <c r="B22" s="6" t="inlineStr"/>
      <c r="C22" s="6" t="inlineStr"/>
      <c r="D22" s="6" t="n">
        <v>88</v>
      </c>
      <c r="E22" s="6" t="inlineStr"/>
      <c r="F22" s="7" t="inlineStr">
        <is>
          <t>TG-2026-RZTZ54</t>
        </is>
      </c>
      <c r="G22" s="7" t="inlineStr">
        <is>
          <t>Amwaj abu soma</t>
        </is>
      </c>
      <c r="H22" s="7" t="inlineStr">
        <is>
          <t>2026-09-07</t>
        </is>
      </c>
      <c r="I22" s="8" t="n">
        <v>2</v>
      </c>
      <c r="J22" s="8" t="n">
        <v>1</v>
      </c>
      <c r="K22" s="8" t="n">
        <v>0</v>
      </c>
      <c r="L22" s="6" t="n">
        <v>3350</v>
      </c>
      <c r="M22" s="7" t="inlineStr">
        <is>
          <t>Info: Private transfer- Soma bay | Guest: Guerche selma | Room: 2019 | Tour: Orange | Language: Arabic</t>
        </is>
      </c>
      <c r="N22" s="6" t="inlineStr"/>
    </row>
    <row r="23">
      <c r="A23" s="6">
        <f>N(B23)+N(E23)*$B$2+N(D23)*$D$2+N(C23)*$F$2</f>
        <v/>
      </c>
      <c r="B23" s="6" t="inlineStr"/>
      <c r="C23" s="6" t="inlineStr"/>
      <c r="D23" s="6" t="inlineStr"/>
      <c r="E23" s="6" t="n">
        <v>50</v>
      </c>
      <c r="F23" s="7" t="inlineStr">
        <is>
          <t>TG-2026-9Q8A2R</t>
        </is>
      </c>
      <c r="G23" s="7" t="inlineStr">
        <is>
          <t>Stella Beach Resort</t>
        </is>
      </c>
      <c r="H23" s="7" t="inlineStr">
        <is>
          <t>2026-09-09</t>
        </is>
      </c>
      <c r="I23" s="8" t="n">
        <v>2</v>
      </c>
      <c r="J23" s="8" t="n">
        <v>0</v>
      </c>
      <c r="K23" s="8" t="n">
        <v>0</v>
      </c>
      <c r="L23" s="6" t="n">
        <v>2200</v>
      </c>
      <c r="M23" s="7" t="inlineStr">
        <is>
          <t>Info: Makadi | Guest: Marco Walter | Room: 5101 | Tour: Hula Hula | Language: German</t>
        </is>
      </c>
      <c r="N23" s="6" t="inlineStr"/>
    </row>
    <row r="24">
      <c r="A24" s="6">
        <f>N(B24)+N(E24)*$B$2+N(D24)*$D$2+N(C24)*$F$2</f>
        <v/>
      </c>
      <c r="B24" s="6" t="inlineStr"/>
      <c r="C24" s="6" t="inlineStr"/>
      <c r="D24" s="6" t="inlineStr"/>
      <c r="E24" s="6" t="n">
        <v>50</v>
      </c>
      <c r="F24" s="7" t="inlineStr">
        <is>
          <t>TG-2026-6597</t>
        </is>
      </c>
      <c r="G24" s="7" t="inlineStr">
        <is>
          <t>Regena resort</t>
        </is>
      </c>
      <c r="H24" s="7" t="inlineStr">
        <is>
          <t>2026-09-09</t>
        </is>
      </c>
      <c r="I24" s="8" t="n">
        <v>2</v>
      </c>
      <c r="J24" s="8" t="n">
        <v>0</v>
      </c>
      <c r="K24" s="8" t="n">
        <v>0</v>
      </c>
      <c r="L24" s="6" t="n">
        <v>1800</v>
      </c>
      <c r="M24" s="7" t="inlineStr">
        <is>
          <t>Guest: KARA Mounir | Room: 2115 | Tour: Hula Hula | Language: Arabic</t>
        </is>
      </c>
      <c r="N24" s="6" t="inlineStr"/>
    </row>
    <row r="25">
      <c r="A25" s="6">
        <f>N(B25)+N(E25)*$B$2+N(D25)*$D$2+N(C25)*$F$2</f>
        <v/>
      </c>
      <c r="B25" s="6" t="inlineStr"/>
      <c r="C25" s="6" t="inlineStr"/>
      <c r="D25" s="6" t="inlineStr"/>
      <c r="E25" s="6" t="n">
        <v>50</v>
      </c>
      <c r="F25" s="7" t="inlineStr">
        <is>
          <t>TG-2026-7124</t>
        </is>
      </c>
      <c r="G25" s="7" t="inlineStr">
        <is>
          <t>Regena resort</t>
        </is>
      </c>
      <c r="H25" s="7" t="inlineStr">
        <is>
          <t>2026-09-09</t>
        </is>
      </c>
      <c r="I25" s="8" t="n">
        <v>2</v>
      </c>
      <c r="J25" s="8" t="n">
        <v>0</v>
      </c>
      <c r="K25" s="8" t="n">
        <v>0</v>
      </c>
      <c r="L25" s="6" t="n">
        <v>1800</v>
      </c>
      <c r="M25" s="7" t="inlineStr">
        <is>
          <t>Guest: Medway mohamed | Room: 2311 | Tour: Orange | Language: Arabic</t>
        </is>
      </c>
      <c r="N25" s="6" t="inlineStr"/>
    </row>
    <row r="26">
      <c r="A26" s="6">
        <f>N(B26)+N(E26)*$B$2+N(D26)*$D$2+N(C26)*$F$2</f>
        <v/>
      </c>
      <c r="B26" s="6" t="inlineStr"/>
      <c r="C26" s="6" t="inlineStr"/>
      <c r="D26" s="6" t="inlineStr"/>
      <c r="E26" s="6" t="n">
        <v>25</v>
      </c>
      <c r="F26" s="7" t="inlineStr">
        <is>
          <t>TG-2026-9591</t>
        </is>
      </c>
      <c r="G26" s="7" t="inlineStr">
        <is>
          <t>Eiffel hotel</t>
        </is>
      </c>
      <c r="H26" s="7" t="inlineStr">
        <is>
          <t>2026-09-09</t>
        </is>
      </c>
      <c r="I26" s="8" t="n">
        <v>1</v>
      </c>
      <c r="J26" s="8" t="n">
        <v>0</v>
      </c>
      <c r="K26" s="8" t="n">
        <v>0</v>
      </c>
      <c r="L26" s="6" t="n">
        <v>900</v>
      </c>
      <c r="M26" s="7" t="inlineStr">
        <is>
          <t>Guest: Bn sakran lotfy | Room: 228 | Tour: Hula Hula | Language: Arabic</t>
        </is>
      </c>
      <c r="N26" s="6" t="inlineStr"/>
    </row>
    <row r="27">
      <c r="A27" s="6">
        <f>N(B27)+N(E27)*$B$2+N(D27)*$D$2+N(C27)*$F$2</f>
        <v/>
      </c>
      <c r="B27" s="6" t="inlineStr"/>
      <c r="C27" s="6" t="inlineStr"/>
      <c r="D27" s="6" t="inlineStr"/>
      <c r="E27" s="6" t="n">
        <v>64</v>
      </c>
      <c r="F27" s="7" t="inlineStr">
        <is>
          <t>TG-2026-3B8CKR</t>
        </is>
      </c>
      <c r="G27" s="7" t="inlineStr">
        <is>
          <t>Makadi prima life</t>
        </is>
      </c>
      <c r="H27" s="7" t="inlineStr">
        <is>
          <t>2026-09-09</t>
        </is>
      </c>
      <c r="I27" s="8" t="n">
        <v>2</v>
      </c>
      <c r="J27" s="8" t="n">
        <v>0</v>
      </c>
      <c r="K27" s="8" t="n">
        <v>0</v>
      </c>
      <c r="L27" s="6" t="n">
        <v>2200</v>
      </c>
      <c r="M27" s="7" t="inlineStr">
        <is>
          <t>Info: Makadi | Guest: Владислав | Room: 4212 | Tour: Orange | Language: Russian</t>
        </is>
      </c>
      <c r="N27" s="6" t="inlineStr"/>
    </row>
    <row r="28">
      <c r="A28" s="6">
        <f>N(B28)+N(E28)*$B$2+N(D28)*$D$2+N(C28)*$F$2</f>
        <v/>
      </c>
      <c r="B28" s="6" t="inlineStr"/>
      <c r="C28" s="6" t="inlineStr"/>
      <c r="D28" s="6" t="inlineStr"/>
      <c r="E28" s="6" t="inlineStr"/>
      <c r="F28" s="7" t="inlineStr">
        <is>
          <t>TG-2026-6393</t>
        </is>
      </c>
      <c r="G28" s="7" t="inlineStr">
        <is>
          <t>Sunrise crystal resort</t>
        </is>
      </c>
      <c r="H28" s="7" t="inlineStr">
        <is>
          <t>2026-09-10</t>
        </is>
      </c>
      <c r="I28" s="8" t="n">
        <v>2</v>
      </c>
      <c r="J28" s="8" t="n">
        <v>0</v>
      </c>
      <c r="K28" s="8" t="n">
        <v>0</v>
      </c>
      <c r="L28" s="6" t="n">
        <v>1800</v>
      </c>
      <c r="M28" s="7" t="inlineStr">
        <is>
          <t>Guest: Mohamed Ameur | Room: 219 | Tour: Orange | Language: Arabic</t>
        </is>
      </c>
      <c r="N28" s="6" t="inlineStr"/>
    </row>
    <row r="29">
      <c r="A29" s="6">
        <f>N(B29)+N(E29)*$B$2+N(D29)*$D$2+N(C29)*$F$2</f>
        <v/>
      </c>
      <c r="B29" s="6" t="inlineStr"/>
      <c r="C29" s="6" t="inlineStr"/>
      <c r="D29" s="6" t="inlineStr"/>
      <c r="E29" s="6" t="n">
        <v>64</v>
      </c>
      <c r="F29" s="7" t="inlineStr">
        <is>
          <t>TG-2026-GDMPCY</t>
        </is>
      </c>
      <c r="G29" s="7" t="inlineStr">
        <is>
          <t>Stella garden makadi</t>
        </is>
      </c>
      <c r="H29" s="7" t="inlineStr">
        <is>
          <t>2026-09-12</t>
        </is>
      </c>
      <c r="I29" s="8" t="n">
        <v>2</v>
      </c>
      <c r="J29" s="8" t="n">
        <v>0</v>
      </c>
      <c r="K29" s="8" t="n">
        <v>0</v>
      </c>
      <c r="L29" s="6" t="n">
        <v>2200</v>
      </c>
      <c r="M29" s="7" t="inlineStr">
        <is>
          <t>Info: Makadi | Guest: Quentin Levivier | Room: 3853 | Tour: Orange | Language: French</t>
        </is>
      </c>
      <c r="N29" s="6" t="inlineStr"/>
    </row>
    <row r="30">
      <c r="A30" s="6">
        <f>N(B30)+N(E30)*$B$2+N(D30)*$D$2+N(C30)*$F$2</f>
        <v/>
      </c>
      <c r="B30" s="6" t="inlineStr"/>
      <c r="C30" s="6" t="inlineStr"/>
      <c r="D30" s="6" t="inlineStr"/>
      <c r="E30" s="6" t="n">
        <v>50</v>
      </c>
      <c r="F30" s="7" t="inlineStr">
        <is>
          <t>TG-2026-5A66GS</t>
        </is>
      </c>
      <c r="G30" s="7" t="inlineStr">
        <is>
          <t>Aldau Heights phase 2</t>
        </is>
      </c>
      <c r="H30" s="7" t="inlineStr">
        <is>
          <t>2026-09-13</t>
        </is>
      </c>
      <c r="I30" s="8" t="n">
        <v>2</v>
      </c>
      <c r="J30" s="8" t="n">
        <v>0</v>
      </c>
      <c r="K30" s="8" t="n">
        <v>0</v>
      </c>
      <c r="L30" s="6" t="n">
        <v>1800</v>
      </c>
      <c r="M30" s="7" t="inlineStr">
        <is>
          <t>Guest: Smail Mohammed | Room: 3415 | Tour: hula hula | Language: Arabic</t>
        </is>
      </c>
      <c r="N30" s="6" t="inlineStr"/>
    </row>
    <row r="31">
      <c r="A31" s="6">
        <f>N(B31)+N(E31)*$B$2+N(D31)*$D$2+N(C31)*$F$2</f>
        <v/>
      </c>
      <c r="B31" s="6" t="inlineStr"/>
      <c r="C31" s="6" t="inlineStr"/>
      <c r="D31" s="6" t="n">
        <v>60</v>
      </c>
      <c r="E31" s="6" t="inlineStr"/>
      <c r="F31" s="7" t="inlineStr">
        <is>
          <t>TG-2026-8682</t>
        </is>
      </c>
      <c r="G31" s="7" t="inlineStr">
        <is>
          <t>Tropitel sahl hasheeh</t>
        </is>
      </c>
      <c r="H31" s="7" t="inlineStr">
        <is>
          <t>2026-09-14</t>
        </is>
      </c>
      <c r="I31" s="8" t="n">
        <v>2</v>
      </c>
      <c r="J31" s="8" t="n">
        <v>0</v>
      </c>
      <c r="K31" s="8" t="n">
        <v>0</v>
      </c>
      <c r="L31" s="6" t="n">
        <v>2200</v>
      </c>
      <c r="M31" s="7" t="inlineStr">
        <is>
          <t>Info: sahl hasheesh | Guest: Bekkouche amir | Room: 5001 | Tour: Orange | Language: French</t>
        </is>
      </c>
      <c r="N31" s="6" t="inlineStr"/>
    </row>
    <row r="32">
      <c r="A32" s="6">
        <f>N(B32)+N(E32)*$B$2+N(D32)*$D$2+N(C32)*$F$2</f>
        <v/>
      </c>
      <c r="B32" s="6" t="inlineStr"/>
      <c r="C32" s="6" t="inlineStr"/>
      <c r="D32" s="6" t="n">
        <v>60</v>
      </c>
      <c r="E32" s="6" t="inlineStr"/>
      <c r="F32" s="7" t="inlineStr">
        <is>
          <t>TG-2026-2778</t>
        </is>
      </c>
      <c r="G32" s="7" t="inlineStr">
        <is>
          <t>Tropitel sahl hasheeh</t>
        </is>
      </c>
      <c r="H32" s="7" t="inlineStr">
        <is>
          <t>2026-09-14</t>
        </is>
      </c>
      <c r="I32" s="8" t="n">
        <v>2</v>
      </c>
      <c r="J32" s="8" t="n">
        <v>0</v>
      </c>
      <c r="K32" s="8" t="n">
        <v>1</v>
      </c>
      <c r="L32" s="6" t="n">
        <v>2200</v>
      </c>
      <c r="M32" s="7" t="inlineStr">
        <is>
          <t>Info: sahl hasheesh | Guest: Zerguine alaa eddine | Room: 4089 | Tour: Orange | Language: French</t>
        </is>
      </c>
      <c r="N32" s="6" t="inlineStr"/>
    </row>
  </sheetData>
  <autoFilter ref="A4:N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Invoice</t>
        </is>
      </c>
      <c r="B2" s="9" t="n">
        <v>80000</v>
      </c>
    </row>
    <row r="3">
      <c r="A3" t="inlineStr">
        <is>
          <t>USD Collection</t>
        </is>
      </c>
      <c r="B3" s="9" t="n">
        <v>35256</v>
      </c>
    </row>
    <row r="4">
      <c r="A4" t="inlineStr">
        <is>
          <t>EUR Collection</t>
        </is>
      </c>
      <c r="B4" s="9" t="n">
        <v>59100</v>
      </c>
    </row>
    <row r="5">
      <c r="A5" t="inlineStr">
        <is>
          <t>EGP Collection</t>
        </is>
      </c>
      <c r="B5" s="9" t="n">
        <v>9400</v>
      </c>
    </row>
    <row r="6">
      <c r="A6" t="inlineStr">
        <is>
          <t>Net Invoice</t>
        </is>
      </c>
      <c r="B6" s="9" t="n">
        <v>-23756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2026-10-01T10:39:20Z</dcterms:created>
  <dcterms:modified xsi:type="dcterms:W3CDTF">2026-10-01T10:39:20Z</dcterms:modified>
</cp:coreProperties>
</file>